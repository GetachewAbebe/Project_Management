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Office\CSIS\Project_Management\"/>
    </mc:Choice>
  </mc:AlternateContent>
  <xr:revisionPtr revIDLastSave="0" documentId="8_{CD181361-5B8B-48C1-B4AB-A47091D3727E}" xr6:coauthVersionLast="47" xr6:coauthVersionMax="47" xr10:uidLastSave="{00000000-0000-0000-0000-000000000000}"/>
  <bookViews>
    <workbookView xWindow="-110" yWindow="-110" windowWidth="19420" windowHeight="10300" xr2:uid="{C31DE540-E0DD-44B1-ADD7-3D92878CDC2D}"/>
  </bookViews>
  <sheets>
    <sheet name="Projects in EMERGING Technology"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0" i="1" l="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61" i="1"/>
  <c r="H62" i="1"/>
  <c r="H63" i="1"/>
  <c r="H64" i="1"/>
  <c r="H65" i="1"/>
  <c r="H66" i="1"/>
  <c r="H67" i="1"/>
  <c r="H68" i="1"/>
  <c r="H69" i="1"/>
  <c r="H70" i="1"/>
  <c r="H71" i="1"/>
  <c r="H72" i="1"/>
  <c r="H73" i="1"/>
  <c r="H74" i="1"/>
  <c r="H27" i="1"/>
  <c r="H8" i="1"/>
  <c r="H11" i="1"/>
  <c r="H13" i="1"/>
  <c r="H14" i="1"/>
  <c r="H15" i="1"/>
  <c r="H16" i="1"/>
  <c r="H17" i="1"/>
  <c r="H18" i="1"/>
  <c r="H19" i="1"/>
  <c r="H20" i="1"/>
  <c r="H21" i="1"/>
  <c r="H22" i="1"/>
  <c r="H23" i="1"/>
  <c r="H24" i="1"/>
  <c r="H25" i="1"/>
  <c r="H26" i="1"/>
  <c r="H10" i="1"/>
  <c r="H12" i="1"/>
  <c r="H7" i="1"/>
  <c r="H9" i="1"/>
  <c r="H6" i="1"/>
  <c r="H5" i="1"/>
  <c r="H2" i="1"/>
  <c r="H3" i="1"/>
  <c r="H4" i="1"/>
  <c r="A5" i="1"/>
  <c r="A3" i="1"/>
  <c r="A4" i="1"/>
  <c r="A2" i="1"/>
</calcChain>
</file>

<file path=xl/sharedStrings.xml><?xml version="1.0" encoding="utf-8"?>
<sst xmlns="http://schemas.openxmlformats.org/spreadsheetml/2006/main" count="356" uniqueCount="203">
  <si>
    <t>S/No.</t>
  </si>
  <si>
    <t>PI</t>
  </si>
  <si>
    <t>Title</t>
  </si>
  <si>
    <t>Objective</t>
  </si>
  <si>
    <t>Start date</t>
  </si>
  <si>
    <t>End date</t>
  </si>
  <si>
    <t>Status</t>
  </si>
  <si>
    <t>Development of Alternative Construction Materials from Plastic Waste</t>
  </si>
  <si>
    <t>Completed</t>
  </si>
  <si>
    <t>Develop and scale up Alternative Bio-composite Construction Materials from plastic waste</t>
  </si>
  <si>
    <t>To develop and scale up Alternative Bio-composite Construction Materials from plastic waste</t>
  </si>
  <si>
    <t>Production of quality pigments from industrial wastes</t>
  </si>
  <si>
    <t>To produce quality pigments from industrial wastes</t>
  </si>
  <si>
    <t>Production of plastic laboratory tools by using 3D printer</t>
  </si>
  <si>
    <t>To produce a materials/tool that can support the institute laboratories by using the institute 3D printer</t>
  </si>
  <si>
    <t>Dr. Wondimagegne Mamo</t>
  </si>
  <si>
    <t>Old Problems, New Solutions: The Mitad</t>
  </si>
  <si>
    <t>The new Mitad will allow large amounts of energy to be freed up and reallocated to different sectors or exported. It will also save money and time of Injera bakers.</t>
  </si>
  <si>
    <t>Processing and Commercialization of Pseudostem and Rhyzom of Banana plant for food security in Ethiopia</t>
  </si>
  <si>
    <t xml:space="preserve">In order to make use of the Banana Pseudostem and Rhizome as foods, nutraceuticals and feeds, to decrease the large amount of agricultural waste produced from the banana cultivation, introduce an easiest method of preparing the food items from the pseudostem and rhizome of banana harvest, and to commercialize the produced starch and food items so that to creat job opportunities for youth and females. </t>
  </si>
  <si>
    <t xml:space="preserve">Completed </t>
  </si>
  <si>
    <t>Synthesis of Zeolite (A, X) from natural Kaoline deposit for application of environmental and energy.</t>
  </si>
  <si>
    <t>applied for the removal of chromium from tannery wastewater., and removal of lead from contaminated water. It can be also applied as detergent additives. In addition to this the synthesized zeolite will be used as catalyst for the production of biofuel from biomass and it will be applied for superconductor development in combination with Graphene</t>
  </si>
  <si>
    <t>Rammed Earth Wall Development as An Alternative Sustainable Construction Material</t>
  </si>
  <si>
    <t>To develop low-cost alternative walls for rural communities</t>
  </si>
  <si>
    <t>completed</t>
  </si>
  <si>
    <t>Design and Development of Avocado and Mango fruits Packaging material</t>
  </si>
  <si>
    <t>To develop Avocado and Mango fruits Packaging material from pulp made from tomato-stalk waste</t>
  </si>
  <si>
    <t>Ongoing</t>
  </si>
  <si>
    <t>Extraction and Evaluation of antioxidant from Mekmeko (Rumex A.) Root to Enhance the Oxidative Stability and Shelf Life of Edible Vegetable Oils</t>
  </si>
  <si>
    <t>To extract antioxidant from Mekmeko (Rumex A.) Root to Enhance the Oxidative Stability and Shelf Life of Edible Vegetable Oils</t>
  </si>
  <si>
    <t>Natural Fibers for Application in Sustainable Textiles and Beyond</t>
  </si>
  <si>
    <t>To extract natural fibers for biomasses and find application in sustainable textiles and beyond</t>
  </si>
  <si>
    <t>Multifunctional Wall Panels from Fiber Based Composite Materials: A Way to Enhance the Building Industry</t>
  </si>
  <si>
    <t>To utilize fibers from biomass and wastes and make multifunctional panels that enhance the building industry</t>
  </si>
  <si>
    <t>Instant Anchote Product Development and Shelf-Life Study</t>
  </si>
  <si>
    <t>To develop instant food product from Anchote and study its shelf life</t>
  </si>
  <si>
    <t>Industrial Sludge and Municipal Solid Waste Incinerated Ash as a Bricks Manufacturing Materials</t>
  </si>
  <si>
    <t>To reuse and utilize industrial sludge and municipal solid waste incinerated ash as a bricks manufacturing material</t>
  </si>
  <si>
    <t>Synthesis and evaluation of bentonite clay-cellulose based hydrogel composite for removal of lead Pb (II) from Industrial Waste</t>
  </si>
  <si>
    <t>To develop bentonite clay-cellulose based hydrogel composite for removal of lead from industrial waste</t>
  </si>
  <si>
    <t xml:space="preserve">Development of graphene-based Photoanode Materials for Dye-Sensitized Solar Cells </t>
  </si>
  <si>
    <t>To develop graphene-based composite photoanode materials for Dye-Sensitized Solar Cells</t>
  </si>
  <si>
    <t>Dr. Melaku Dereje</t>
  </si>
  <si>
    <t>Design and Development of Gas Sensors Using Functionalized MXenes and Graphene-Based Nanocomposites: Experimental and Computational Study</t>
  </si>
  <si>
    <t>To develop gas sensors using functionalized Nanocomposites</t>
  </si>
  <si>
    <t>Development of Innovative Metallic Materials from Low Grade Ore and Electronic Waste</t>
  </si>
  <si>
    <t>To develop enhanced methods for minerals extraction and develop minerals-based materials</t>
  </si>
  <si>
    <t>Dr. Abera Demeke</t>
  </si>
  <si>
    <t>Engineered MOF/rGO materials for healthcare and environmental monitoring applications</t>
  </si>
  <si>
    <t>To develop composite materials using MOF and rGO for healthcare and environmental monitoring applications</t>
  </si>
  <si>
    <t>Development of a Lithium Extraction System from Ethiopian Brine Resources using Lithium Manganese Oxide Type Lithium-ion Sieves Adsorbent</t>
  </si>
  <si>
    <t>To develop Lithium extraction system from Ethiopian brine resources using LMO type LiS Adsorbent</t>
  </si>
  <si>
    <t>Extraction of copper from waste printed circuit board: Electro-assisted leaching by Ammonium Salt System</t>
  </si>
  <si>
    <t>To develop a method for extraction of copper from waste printed circuit board</t>
  </si>
  <si>
    <t>Development of Graphitic Carbon Nitride (g-C3N4) Based Materials for Photocatalytic Applications</t>
  </si>
  <si>
    <t>To develop Graphitic Carbon Nitride (g-C3N4) Based Composite Materials for Photocatalytic Applications</t>
  </si>
  <si>
    <t>Intelligent disease detection for wheat farming in Ethiopia</t>
  </si>
  <si>
    <t>The main objective of this project is to develop a deep learning application to automatically detect and classify wheat diseases based on local datasets.</t>
  </si>
  <si>
    <t>Mr. Habtamu Biru</t>
  </si>
  <si>
    <t>ML and DL based website which recommends the best crop to grow, fertilizers to use and the diseases caught by crops:</t>
  </si>
  <si>
    <t>The main objective of this research is to create a website using ML and DL that suggests the best crops to produce, fertilizers to use, and identify disease your crops are susceptible to and recommend possible solutions to the disease.</t>
  </si>
  <si>
    <t>Mobile Based Weed Detection system in the middle of cereal crop using deep learning</t>
  </si>
  <si>
    <t>The aim of this project is to develop mobile based weed detection system using machine learning/deep learning technique by incorporating fine-tuned images of weed category collected.</t>
  </si>
  <si>
    <t>AI-Based tomato leaf disease detection and classification</t>
  </si>
  <si>
    <t>ongoing</t>
  </si>
  <si>
    <t>The primary objective of this project is to establish a robust and efficient model for automatic detection and classification of tomato leaf diseases using AI techniques. By leveraging a dataset of 10,000 images, theresearch aims to demonstrate that AI can significantly outperform traditional methods in speed, accuracy,and consistency. The ultimate goal is to develop a system that is not only technically feasible but alsopractical for farmers, with the potential for real-world application in various agricultural contexts to ensure food security and empower farming communities.</t>
  </si>
  <si>
    <t xml:space="preserve">Alternative construction materials (bricks’) will generate income
It will enhance road infrastructure 
It will have relatively less manufacturing cost than conventional brick </t>
  </si>
  <si>
    <t>Ongoing and modified to “Multifunctional Wall panel” project on number 22</t>
  </si>
  <si>
    <t>Mr. Moges Reda</t>
  </si>
  <si>
    <t>Dr. Biniyam Nigussie</t>
  </si>
  <si>
    <t>Wondimagegne Mamo</t>
  </si>
  <si>
    <t>Eyobel Mulugeta</t>
  </si>
  <si>
    <t>AASTU (Dr. Derejaw) (External)</t>
  </si>
  <si>
    <t>Wintana Kassahun</t>
  </si>
  <si>
    <t>Dr. Alemayehu Dubale,</t>
  </si>
  <si>
    <t>Dr. Kebede Gamo</t>
  </si>
  <si>
    <t>Dr. Eyobel Mulugeta</t>
  </si>
  <si>
    <t xml:space="preserve"> Dr. Eyobel Mulugeta</t>
  </si>
  <si>
    <t>Dr Taddele Hunde (External)</t>
  </si>
  <si>
    <t>Dr. Beselam Tadesse</t>
  </si>
  <si>
    <t>Dr. Minbale Aschalew</t>
  </si>
  <si>
    <t>Green Synthesis of CuO and ZnO Nanoparticles for Medical Applications (Wound Healing)</t>
  </si>
  <si>
    <t>Radiation-Assisted Synthesis of Biodegradable Polymer –Based Nanocomposites</t>
  </si>
  <si>
    <t>Improving Food Safety and Extending Shelf Life of Fresh Fruits and Vegetables Through Gamma Irradiation</t>
  </si>
  <si>
    <t>Mixing nano silica with zeolite as a potential approach for carbon dioxide (CO2) adsorption from cement factories</t>
  </si>
  <si>
    <t>Nano-Zeolite for preventing Banana/Enset leaf disease</t>
  </si>
  <si>
    <t>Crystalline Nano cellulose extracted from bagasse for wood adhesive application</t>
  </si>
  <si>
    <t>Development of Small-Scale Avocado Oil Extraction Process for Rural Villages in Ethiopia</t>
  </si>
  <si>
    <t>Powering Ethiopia’s Green Future: A Biodiesel Production Model using Jatropha at Gubre Town and National Expansion in Ethiopia</t>
  </si>
  <si>
    <t>Ecofriendly Synthesis and Application of Nanoparticles for Food Packaging Materials</t>
  </si>
  <si>
    <t>Self-healing asphalt using Nanoclay as a modifier</t>
  </si>
  <si>
    <t>Development of Green Cement by Impregnation of Nanocellulose for Enhanced Concrete Performance</t>
  </si>
  <si>
    <t>Sustainable Practices in Ethiopia’s Coffee Industry: Enhancing Region-of-Origin Determination and Supply Chain Assessment</t>
  </si>
  <si>
    <t>Optimization of Calcium Supplementation for Lactating Cows</t>
  </si>
  <si>
    <t>Evaluation of Mycotoxin Reduction and Changes in the Quality of Hot Pepper and Peanut Treated with Gamma Radiation</t>
  </si>
  <si>
    <t>Development of electro oxidation with biomass-derived /TiO2 Nano composite hybrid system for tannery waste water treatment</t>
  </si>
  <si>
    <t>Synthesis of zeolite from Textile Sludge and Fly Ash: its application in waste water treatment and Nano fertilizer</t>
  </si>
  <si>
    <t>Synthesis of Magnetic Nanoparticle Directly from Iron Ore for Wastewater Treatment</t>
  </si>
  <si>
    <t>Production of quality pigment from Mill scale in the steel industry</t>
  </si>
  <si>
    <t>Improvement of Injera shelf-life through the use of silver (Ag) and Zinc Oxide (ZnO) Nanoparticles.</t>
  </si>
  <si>
    <t>Engineering Beewaxas phase change materials for application in loop mediated isothermal amplification/heat block system</t>
  </si>
  <si>
    <t>Combating Aflatoxin with neutral electrolyzed water</t>
  </si>
  <si>
    <t xml:space="preserve">Electrochemical deposition of reduced graphene oxide decorated with silver and nickel oxide nanoparticles for quantification of ascorbic acid in bottled fruit juice and vitamin c tablet </t>
  </si>
  <si>
    <t>Effectiveness of Water Treatment Using Moringa Oleifera in Southwest Ethiopia: A Community-Based, Pilot Randomized Control Trials</t>
  </si>
  <si>
    <t>Green Synthesis and Characterization of Nano-silica from Industrial Wastes as re-inforcing filler in Passenger Car Tyre.</t>
  </si>
  <si>
    <t>Reducing the level of fluoride in drinking water to the permissible limit on selected sites of the Oromia Region</t>
  </si>
  <si>
    <t>Synthesis of zinc oxide nanoparticles using water extracts of Moringa stenopetala leaf for Ciprofloxacin delivery, characterization and evaluation of drug loaded nanoparticles against ciprofloxacin resistant Escherichia coli</t>
  </si>
  <si>
    <t>Development of a Point of Use Drinking Water Purifier using Aluminium Oxide-Based Flocculent-Disinfectant Composite</t>
  </si>
  <si>
    <t>Green synthesis of Co-doped ZnO via the accumulation of cobalt ion onto Eich-hornia crassipes plant tissue and the photocatalytic degradation efficiency under visible light.</t>
  </si>
  <si>
    <t>Water hyacinth plant extract mediated green synthesis of Cr2O3/ZnO composite photocatalyst for the degradation of organic dye.</t>
  </si>
  <si>
    <t>Electrochemical deposition of reduced graphene oxide decorated with silver and nickel oxide nanoparticles for quantification of ascorbic acid in bottled fruit juice and Vita-min C tablet.</t>
  </si>
  <si>
    <t>Bio-Based Polymer Production form Prosopis juliflora and Biomass Wastes in Eastern Ethiopia: Ethiopian – European Cooperation for innovative Solutions</t>
  </si>
  <si>
    <t>Green synthesis of CuO and ZnO nanoparticles for medical applications</t>
  </si>
  <si>
    <t>The main objective of this research project is to synthesize radiation-assisted biodegradable polymer nanocomposite material</t>
  </si>
  <si>
    <t>The main objective of this research project is to improve food safety and extend the shelf life of some fruits and vegetables using irradiation techniques.</t>
  </si>
  <si>
    <t xml:space="preserve">to investigate the potential of mixing nano silica with zeolite as an approach for carbon dioxide (CO2) adsorption from cement factories. </t>
  </si>
  <si>
    <t>To Enhance adhesive property of commercial addhesives usng CNC extracted from bagasse</t>
  </si>
  <si>
    <t>using nano-zeolite for preventing banana/enset leaf disease To develop a preventive approach to control and reduce the incidence of banana/enset leaf diseases caused by pathogens such as fungi, bacteria, or viruses</t>
  </si>
  <si>
    <t>Enhance the self-healing capability of Asphalts</t>
  </si>
  <si>
    <t>To make waste sugar cane bagasse material valuable for Passenger car tyre reinforcement thereby make silica filler as an import replacement.</t>
  </si>
  <si>
    <t>to provide a technology that works at the household level to reduce the fluoride level of potable water to the permissible limit of WHO standard in selected sites in the rift valley basin of the Oromia Region.</t>
  </si>
  <si>
    <t>To prepare ZnONPs from water extract of M. Stenopetala leaf for ciprofloxacin delivery and to evaluate the antibacterial effect of drug loaded NPs against ciprofloxacin resistant E. coli</t>
  </si>
  <si>
    <t>to develop a point of use drinking water purifier using aluminium oxide-based flocculent-disinfectant composite.</t>
  </si>
  <si>
    <t>To get magnetic nanoparticles which have good magnetic property at a low cost for application in wastewater treatment.</t>
  </si>
  <si>
    <t xml:space="preserve">Production of pigment for paint and ceramic  industry </t>
  </si>
  <si>
    <t>Molecular diagnostic kit for infectious disease at a very low cost</t>
  </si>
  <si>
    <t xml:space="preserve">Ongoing </t>
  </si>
  <si>
    <t xml:space="preserve"> Ongoing</t>
  </si>
  <si>
    <t>On going</t>
  </si>
  <si>
    <t>Ongoing extension asked</t>
  </si>
  <si>
    <t>Completed And extended for further work</t>
  </si>
  <si>
    <t>Mr.Yisehak Demisei</t>
  </si>
  <si>
    <t>Urban vertical farming: HOMESTEAD solution</t>
  </si>
  <si>
    <t>Multidrop thresher technology adaptation</t>
  </si>
  <si>
    <t>Design and manufacture Ram pump for local farmer support</t>
  </si>
  <si>
    <t>Design and development of windrow compost turner machine</t>
  </si>
  <si>
    <t>Design and Development of small scale avocado oil extraction machine</t>
  </si>
  <si>
    <t>Hydroponic nutrient solution for urban agriculture</t>
  </si>
  <si>
    <t>Design and development of IOT-based Modular weather station for local farmers and real-time monitoring of farming condition</t>
  </si>
  <si>
    <t>The development of sustainable stormwater management for Addis Ababa</t>
  </si>
  <si>
    <t xml:space="preserve">Solar Dying Technology: Sustainable solution for food preservation </t>
  </si>
  <si>
    <t>Design and Manufacture of agro-waste shredding Machine</t>
  </si>
  <si>
    <t>Domestication of Stinging Nettle (Urtica Simensis) as Alternative Source of Food in Ethiopia</t>
  </si>
  <si>
    <t>Development of Feed Processing Technology for the Transformation of Agricultural Wastes to Animal Feed</t>
  </si>
  <si>
    <t>Development of Integrated Street Business Clustering with Flexible Shelter</t>
  </si>
  <si>
    <t>Development of lower leg prosthetic socket and investigating the effect of nano additives</t>
  </si>
  <si>
    <t>Adaptation of multi thresher technology and through fabrication training and using local materials</t>
  </si>
  <si>
    <t>Developing a Sustainable IoT-based Smart Weather Station for Real Time Weather Monitoring and Forecasting to enhance decision making of smallholder farmers and improve their productivity.</t>
  </si>
  <si>
    <t>To identify and design a suitable solar drying technology for Gambella region fishermen, enhancing the quality and marketability of dried fish products. This technology aims to improve preservation, reduce contamination, and increase drying efficiency</t>
  </si>
  <si>
    <t>Investigating the Impact of Nano Additives on Natural Fiber Reinforced Composites for the Lower Leg Prosthetic Socket Development</t>
  </si>
  <si>
    <t>The overall objective of the research is to contribute to achieve the national development goals by adapting the relevant vertical farming technology that will work in a cost-effective manner.</t>
  </si>
  <si>
    <t>Design and manufacture Ram pump (that uses water energy, renewable energy) to support local farmers effort in agriculture.</t>
  </si>
  <si>
    <t>The general objective of the project is to design and develop windrow composting turning machine and chaff shredding machine to contributor to organic fertilizer production initiative in Ethiopia</t>
  </si>
  <si>
    <t>To Domesticate of Stinging Nettle (Urtica Simensis) as Alternative Source of Food in Ethiopia</t>
  </si>
  <si>
    <t>To Develop Feed Processing Technology for the Transformation of agricultural wastes (Crop residues, Fruits and Vegetable Wastes) to Animal Feed which enhance productivity of livestock&amp;#39; s and livestock products.</t>
  </si>
  <si>
    <t>The project is aimed to cluster street businesses/markets through flexible shelters,</t>
  </si>
  <si>
    <t>objectives is designing and construction of movable hot-pressing machines, test the developed avocado oil extraction technology,</t>
  </si>
  <si>
    <t>The objective of this work is to prepare and test hydroponic nutrient solution in the laboratory for the application on plants for hydroponic system in large scale as well.</t>
  </si>
  <si>
    <t>The objective of this Ph.D. thesis is to assess the hydrologic impact of LULC changes in different developmental scenarios and quantify the hydrologic modification resulting from implementing WSUD systems to develop an empirical relation considering sensitive parameters which will support the development of compatible and sustainable stormwater management in Addis Ababa.</t>
  </si>
  <si>
    <t>The major objective of the project is to design the chaff cutter machine that enable to chop different sizes of dry or wet corn straw, grass, soya bean, wheat stalk, with ease and thus, reducing the manual work of farmer and increases the fodder production. Mainly used for livestock sector in Ethiopia and the reasons behind farmers’ choices of preferred practices.</t>
  </si>
  <si>
    <t xml:space="preserve">Completed  </t>
  </si>
  <si>
    <t>Code</t>
  </si>
  <si>
    <t>Development of composite material from textile wastes</t>
  </si>
  <si>
    <t>Development of fiber based composite materials for manfacturing industries</t>
  </si>
  <si>
    <t>The main obective of this proect</t>
  </si>
  <si>
    <t>Mr. Getachew Abebe</t>
  </si>
  <si>
    <t>Mr. Tekalign Abdisa</t>
  </si>
  <si>
    <t>Mr. Endalew Simie</t>
  </si>
  <si>
    <t>Dr. Abiy Lolasa</t>
  </si>
  <si>
    <t>Dr. Tekalign Aregu</t>
  </si>
  <si>
    <t>Dr. Zekarias Gebreeyesus</t>
  </si>
  <si>
    <t>Mis. Nefisa Abdulkadir</t>
  </si>
  <si>
    <t>Mr. Endegenaamare Taye</t>
  </si>
  <si>
    <t>Dr. Hailemariam Gebru</t>
  </si>
  <si>
    <t>Mr. Awoke Berihun</t>
  </si>
  <si>
    <t xml:space="preserve"> Mr. Baba Abdissa</t>
  </si>
  <si>
    <t>Mr. Baba Abdissa</t>
  </si>
  <si>
    <t>Mr. Wubshet Gebru</t>
  </si>
  <si>
    <t>Mr. Yaschelewal Zegyalew</t>
  </si>
  <si>
    <t>Mr. Abenezer Mengistu</t>
  </si>
  <si>
    <t>Mr. Tewolde Mulu</t>
  </si>
  <si>
    <t>Mr. Betselot tesfaye</t>
  </si>
  <si>
    <t>Mr. Anwar Beshir</t>
  </si>
  <si>
    <t>Mr. Eyobel Mulugeta</t>
  </si>
  <si>
    <t>Dr. Osman Ahmed</t>
  </si>
  <si>
    <t>Dr. Zekarias  Gebreyes</t>
  </si>
  <si>
    <t>Mr. Biruk Esseye</t>
  </si>
  <si>
    <t xml:space="preserve">Mr. Biruk Esseye </t>
  </si>
  <si>
    <t>Dr. Alemayehu Dubale</t>
  </si>
  <si>
    <t>Mr. Kinfegebriel Kebede</t>
  </si>
  <si>
    <t>Mr. Dawit Yiffa</t>
  </si>
  <si>
    <t>Mr. Abdulatifi Habib</t>
  </si>
  <si>
    <t>Mr. Zerihun Kedida</t>
  </si>
  <si>
    <t>Mis. Berihane Desta</t>
  </si>
  <si>
    <t>Mis. Meaza Girma</t>
  </si>
  <si>
    <t>Mr. Neggeso Bekere</t>
  </si>
  <si>
    <t>Dr. Endalkachew Gashawtena</t>
  </si>
  <si>
    <t>Computional Sciences and Intelligence Systems</t>
  </si>
  <si>
    <t>Material Science and Engineering</t>
  </si>
  <si>
    <t>Reverse Engineering</t>
  </si>
  <si>
    <t>Directorate</t>
  </si>
  <si>
    <t>Nano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</si>
</sst>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6100"/>
      <name val="Calibri"/>
      <family val="2"/>
      <scheme val="minor"/>
    </font>
    <font>
      <sz val="11"/>
      <color theme="1"/>
      <name val="Calibri"/>
      <family val="2"/>
    </font>
    <font>
      <b/>
      <sz val="11"/>
      <color rgb="FF006100"/>
      <name val="Calibri"/>
      <family val="2"/>
      <scheme val="minor"/>
    </font>
  </fonts>
  <fills count="3">
    <fill>
      <patternFill patternType="none"/>
    </fill>
    <fill>
      <patternFill patternType="gray125"/>
    </fill>
    <fill>
      <patternFill patternType="solid">
        <fgColor rgb="FFC6EFCE"/>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15">
    <xf numFmtId="0" fontId="0" fillId="0" borderId="0" xfId="0"/>
    <xf numFmtId="0" fontId="0" fillId="0" borderId="0" xfId="0" applyAlignment="1">
      <alignment vertical="top" wrapText="1"/>
    </xf>
    <xf numFmtId="0" fontId="0" fillId="0" borderId="0" xfId="0" applyAlignment="1">
      <alignment wrapText="1"/>
    </xf>
    <xf numFmtId="0" fontId="0" fillId="0" borderId="0" xfId="0" applyAlignment="1">
      <alignment horizontal="center" vertical="top" wrapText="1"/>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vertical="top" wrapText="1"/>
    </xf>
    <xf numFmtId="0" fontId="2" fillId="0" borderId="1" xfId="0" applyFont="1" applyBorder="1" applyAlignment="1">
      <alignment horizontal="center" vertical="center" wrapText="1"/>
    </xf>
    <xf numFmtId="0" fontId="0" fillId="0" borderId="1" xfId="0" applyBorder="1" applyAlignment="1">
      <alignment wrapText="1"/>
    </xf>
    <xf numFmtId="0" fontId="3" fillId="2" borderId="1" xfId="1" applyFont="1" applyBorder="1" applyAlignment="1">
      <alignment horizontal="center" vertical="center" wrapText="1"/>
    </xf>
    <xf numFmtId="0" fontId="3" fillId="2" borderId="1" xfId="1" applyFont="1" applyBorder="1" applyAlignment="1">
      <alignment horizontal="center" vertical="top" wrapText="1"/>
    </xf>
    <xf numFmtId="0" fontId="3" fillId="2" borderId="1" xfId="1" applyFont="1" applyBorder="1" applyAlignment="1">
      <alignment wrapText="1"/>
    </xf>
    <xf numFmtId="0" fontId="3" fillId="2" borderId="1" xfId="1" applyNumberFormat="1" applyFont="1" applyBorder="1" applyAlignment="1">
      <alignment horizontal="center" vertical="center" wrapText="1"/>
    </xf>
    <xf numFmtId="0" fontId="0" fillId="0" borderId="0" xfId="0" applyFont="1" applyAlignment="1">
      <alignment vertical="top" wrapText="1"/>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97864-63BF-4D9F-A55F-353373DE8F56}">
  <dimension ref="A1:I74"/>
  <sheetViews>
    <sheetView tabSelected="1" workbookViewId="0">
      <selection activeCell="A60" sqref="A60:XFD60"/>
    </sheetView>
  </sheetViews>
  <sheetFormatPr defaultColWidth="8.90625" defaultRowHeight="14.5" x14ac:dyDescent="0.35"/>
  <cols>
    <col min="1" max="1" width="6.453125" style="4" customWidth="1"/>
    <col min="2" max="2" width="18.54296875" style="4" customWidth="1"/>
    <col min="3" max="3" width="32.81640625" style="3" customWidth="1"/>
    <col min="4" max="4" width="34.90625" style="2" customWidth="1"/>
    <col min="5" max="5" width="14.1796875" style="4" customWidth="1"/>
    <col min="6" max="6" width="11.90625" style="4" customWidth="1"/>
    <col min="7" max="7" width="12.1796875" style="4" customWidth="1"/>
    <col min="8" max="8" width="26" style="4" customWidth="1"/>
    <col min="9" max="16384" width="8.90625" style="2"/>
  </cols>
  <sheetData>
    <row r="1" spans="1:9" ht="29" x14ac:dyDescent="0.35">
      <c r="A1" s="10" t="s">
        <v>0</v>
      </c>
      <c r="B1" s="10" t="s">
        <v>1</v>
      </c>
      <c r="C1" s="11" t="s">
        <v>2</v>
      </c>
      <c r="D1" s="12" t="s">
        <v>3</v>
      </c>
      <c r="E1" s="13" t="s">
        <v>4</v>
      </c>
      <c r="F1" s="13" t="s">
        <v>5</v>
      </c>
      <c r="G1" s="10" t="s">
        <v>6</v>
      </c>
      <c r="H1" s="10" t="s">
        <v>162</v>
      </c>
      <c r="I1" s="2" t="s">
        <v>201</v>
      </c>
    </row>
    <row r="2" spans="1:9" s="1" customFormat="1" ht="101.5" x14ac:dyDescent="0.35">
      <c r="A2" s="5">
        <f>ROW()-2</f>
        <v>0</v>
      </c>
      <c r="B2" s="5" t="s">
        <v>166</v>
      </c>
      <c r="C2" s="6" t="s">
        <v>57</v>
      </c>
      <c r="D2" s="7" t="s">
        <v>58</v>
      </c>
      <c r="E2" s="5">
        <v>2023</v>
      </c>
      <c r="F2" s="5">
        <v>2025</v>
      </c>
      <c r="G2" s="5" t="s">
        <v>28</v>
      </c>
      <c r="H2" s="5" t="e">
        <f xml:space="preserve"> "BETin/SAD/CSIS/2023/" &amp; TEXT(ROW(#REF!), "0000")</f>
        <v>#REF!</v>
      </c>
      <c r="I2" s="1" t="s">
        <v>198</v>
      </c>
    </row>
    <row r="3" spans="1:9" s="1" customFormat="1" ht="101.5" x14ac:dyDescent="0.35">
      <c r="A3" s="5">
        <f t="shared" ref="A3:A4" si="0">ROW()-2</f>
        <v>1</v>
      </c>
      <c r="B3" s="5" t="s">
        <v>59</v>
      </c>
      <c r="C3" s="6" t="s">
        <v>60</v>
      </c>
      <c r="D3" s="7" t="s">
        <v>61</v>
      </c>
      <c r="E3" s="5">
        <v>2023</v>
      </c>
      <c r="F3" s="5">
        <v>2025</v>
      </c>
      <c r="G3" s="5" t="s">
        <v>65</v>
      </c>
      <c r="H3" s="5" t="str">
        <f xml:space="preserve"> "BETin/SAD/CSIS/2023/" &amp; TEXT(ROW(A1), "0000")</f>
        <v>BETin/SAD/CSIS/2023/0001</v>
      </c>
      <c r="I3" s="1" t="s">
        <v>198</v>
      </c>
    </row>
    <row r="4" spans="1:9" s="1" customFormat="1" ht="101.5" x14ac:dyDescent="0.35">
      <c r="A4" s="5">
        <f t="shared" si="0"/>
        <v>2</v>
      </c>
      <c r="B4" s="5" t="s">
        <v>167</v>
      </c>
      <c r="C4" s="6" t="s">
        <v>62</v>
      </c>
      <c r="D4" s="7" t="s">
        <v>63</v>
      </c>
      <c r="E4" s="5">
        <v>2024</v>
      </c>
      <c r="F4" s="5">
        <v>2025</v>
      </c>
      <c r="G4" s="5" t="s">
        <v>65</v>
      </c>
      <c r="H4" s="5" t="str">
        <f xml:space="preserve"> "BETin/SAD/CSIS/2024/" &amp; TEXT(ROW(A2), "0000")</f>
        <v>BETin/SAD/CSIS/2024/0002</v>
      </c>
      <c r="I4" s="1" t="s">
        <v>198</v>
      </c>
    </row>
    <row r="5" spans="1:9" s="1" customFormat="1" ht="232" x14ac:dyDescent="0.35">
      <c r="A5" s="5">
        <f>ROW()-2</f>
        <v>3</v>
      </c>
      <c r="B5" s="5" t="s">
        <v>168</v>
      </c>
      <c r="C5" s="6" t="s">
        <v>64</v>
      </c>
      <c r="D5" s="7" t="s">
        <v>66</v>
      </c>
      <c r="E5" s="5">
        <v>2023</v>
      </c>
      <c r="F5" s="5">
        <v>2024</v>
      </c>
      <c r="G5" s="5" t="s">
        <v>8</v>
      </c>
      <c r="H5" s="5" t="str">
        <f xml:space="preserve"> "BETin/SAD/CSIS/2023/" &amp; TEXT(ROW(A3), "0000")</f>
        <v>BETin/SAD/CSIS/2023/0003</v>
      </c>
      <c r="I5" s="1" t="s">
        <v>198</v>
      </c>
    </row>
    <row r="6" spans="1:9" s="1" customFormat="1" ht="72.5" x14ac:dyDescent="0.35">
      <c r="A6" s="5">
        <v>1</v>
      </c>
      <c r="B6" s="5" t="s">
        <v>169</v>
      </c>
      <c r="C6" s="6" t="s">
        <v>7</v>
      </c>
      <c r="D6" s="7" t="s">
        <v>67</v>
      </c>
      <c r="E6" s="8">
        <v>2019</v>
      </c>
      <c r="F6" s="8">
        <v>2019</v>
      </c>
      <c r="G6" s="5" t="s">
        <v>8</v>
      </c>
      <c r="H6" s="5" t="str">
        <f xml:space="preserve"> "BETin/SAD/MSED/2019/" &amp; TEXT(ROW(A4), "0000")</f>
        <v>BETin/SAD/MSED/2019/0004</v>
      </c>
      <c r="I6" s="1" t="s">
        <v>199</v>
      </c>
    </row>
    <row r="7" spans="1:9" s="1" customFormat="1" ht="72.5" x14ac:dyDescent="0.35">
      <c r="A7" s="5">
        <v>2</v>
      </c>
      <c r="B7" s="5" t="s">
        <v>170</v>
      </c>
      <c r="C7" s="6" t="s">
        <v>9</v>
      </c>
      <c r="D7" s="7" t="s">
        <v>10</v>
      </c>
      <c r="E7" s="5">
        <v>2019</v>
      </c>
      <c r="F7" s="5">
        <v>2019</v>
      </c>
      <c r="G7" s="5" t="s">
        <v>8</v>
      </c>
      <c r="H7" s="5" t="str">
        <f xml:space="preserve"> "BETin/SAD/MSED/2019/" &amp; TEXT(ROW(A5), "0000")</f>
        <v>BETin/SAD/MSED/2019/0005</v>
      </c>
      <c r="I7" s="1" t="s">
        <v>199</v>
      </c>
    </row>
    <row r="8" spans="1:9" s="1" customFormat="1" ht="72.5" x14ac:dyDescent="0.35">
      <c r="A8" s="5">
        <v>3</v>
      </c>
      <c r="B8" s="5" t="s">
        <v>171</v>
      </c>
      <c r="C8" s="6" t="s">
        <v>11</v>
      </c>
      <c r="D8" s="7" t="s">
        <v>12</v>
      </c>
      <c r="E8" s="5">
        <v>2018</v>
      </c>
      <c r="F8" s="5">
        <v>2021</v>
      </c>
      <c r="G8" s="5" t="s">
        <v>8</v>
      </c>
      <c r="H8" s="5" t="e">
        <f xml:space="preserve"> "BETin/SAD/MSED/2018/" &amp; TEXT(ROW(#REF!), "0000")</f>
        <v>#REF!</v>
      </c>
      <c r="I8" s="1" t="s">
        <v>199</v>
      </c>
    </row>
    <row r="9" spans="1:9" s="1" customFormat="1" ht="72.5" x14ac:dyDescent="0.35">
      <c r="A9" s="5">
        <v>4</v>
      </c>
      <c r="B9" s="5" t="s">
        <v>172</v>
      </c>
      <c r="C9" s="6" t="s">
        <v>13</v>
      </c>
      <c r="D9" s="7" t="s">
        <v>14</v>
      </c>
      <c r="E9" s="8">
        <v>2019</v>
      </c>
      <c r="F9" s="8">
        <v>2019</v>
      </c>
      <c r="G9" s="5" t="s">
        <v>8</v>
      </c>
      <c r="H9" s="5" t="str">
        <f xml:space="preserve"> "BETin/SAD/MSED/2019/" &amp; TEXT(ROW(A6), "0000")</f>
        <v>BETin/SAD/MSED/2019/0006</v>
      </c>
      <c r="I9" s="1" t="s">
        <v>199</v>
      </c>
    </row>
    <row r="10" spans="1:9" s="1" customFormat="1" ht="72.5" x14ac:dyDescent="0.35">
      <c r="A10" s="5">
        <v>5</v>
      </c>
      <c r="B10" s="5" t="s">
        <v>173</v>
      </c>
      <c r="C10" s="6" t="s">
        <v>16</v>
      </c>
      <c r="D10" s="7" t="s">
        <v>17</v>
      </c>
      <c r="E10" s="8">
        <v>2019</v>
      </c>
      <c r="F10" s="8">
        <v>2020</v>
      </c>
      <c r="G10" s="5" t="s">
        <v>8</v>
      </c>
      <c r="H10" s="5" t="str">
        <f xml:space="preserve"> "BETin/SAD/MSED/2019/" &amp; TEXT(ROW(A7), "0000")</f>
        <v>BETin/SAD/MSED/2019/0007</v>
      </c>
      <c r="I10" s="1" t="s">
        <v>199</v>
      </c>
    </row>
    <row r="11" spans="1:9" s="1" customFormat="1" ht="174" x14ac:dyDescent="0.35">
      <c r="A11" s="5">
        <v>6</v>
      </c>
      <c r="B11" s="5" t="s">
        <v>15</v>
      </c>
      <c r="C11" s="6" t="s">
        <v>18</v>
      </c>
      <c r="D11" s="7" t="s">
        <v>19</v>
      </c>
      <c r="E11" s="5">
        <v>2019</v>
      </c>
      <c r="F11" s="5">
        <v>2020</v>
      </c>
      <c r="G11" s="5" t="s">
        <v>20</v>
      </c>
      <c r="H11" s="5" t="str">
        <f xml:space="preserve"> "BETin/SAD/MSED/2019/" &amp; TEXT(ROW(A8), "0000")</f>
        <v>BETin/SAD/MSED/2019/0008</v>
      </c>
      <c r="I11" s="1" t="s">
        <v>199</v>
      </c>
    </row>
    <row r="12" spans="1:9" s="1" customFormat="1" ht="145" x14ac:dyDescent="0.35">
      <c r="A12" s="5">
        <v>7</v>
      </c>
      <c r="B12" s="5" t="s">
        <v>15</v>
      </c>
      <c r="C12" s="6" t="s">
        <v>21</v>
      </c>
      <c r="D12" s="7" t="s">
        <v>22</v>
      </c>
      <c r="E12" s="5">
        <v>2019</v>
      </c>
      <c r="F12" s="5">
        <v>2020</v>
      </c>
      <c r="G12" s="5" t="s">
        <v>8</v>
      </c>
      <c r="H12" s="5" t="str">
        <f xml:space="preserve"> "BETin/SAD/MSED/2019/" &amp; TEXT(ROW(A9), "0000")</f>
        <v>BETin/SAD/MSED/2019/0009</v>
      </c>
      <c r="I12" s="1" t="s">
        <v>199</v>
      </c>
    </row>
    <row r="13" spans="1:9" s="1" customFormat="1" ht="72.5" x14ac:dyDescent="0.35">
      <c r="A13" s="5">
        <v>8</v>
      </c>
      <c r="B13" s="5" t="s">
        <v>172</v>
      </c>
      <c r="C13" s="6" t="s">
        <v>23</v>
      </c>
      <c r="D13" s="7" t="s">
        <v>24</v>
      </c>
      <c r="E13" s="8">
        <v>2020</v>
      </c>
      <c r="F13" s="8">
        <v>2024</v>
      </c>
      <c r="G13" s="5" t="s">
        <v>25</v>
      </c>
      <c r="H13" s="5" t="str">
        <f xml:space="preserve"> "BETin/SAD/MSED/2020/" &amp; TEXT(ROW(A10), "0000")</f>
        <v>BETin/SAD/MSED/2020/0010</v>
      </c>
      <c r="I13" s="1" t="s">
        <v>199</v>
      </c>
    </row>
    <row r="14" spans="1:9" s="1" customFormat="1" ht="72.5" x14ac:dyDescent="0.35">
      <c r="A14" s="5">
        <v>9</v>
      </c>
      <c r="B14" s="5" t="s">
        <v>174</v>
      </c>
      <c r="C14" s="6" t="s">
        <v>26</v>
      </c>
      <c r="D14" s="7" t="s">
        <v>27</v>
      </c>
      <c r="E14" s="8">
        <v>2021</v>
      </c>
      <c r="F14" s="8">
        <v>2024</v>
      </c>
      <c r="G14" s="5" t="s">
        <v>8</v>
      </c>
      <c r="H14" s="5" t="str">
        <f xml:space="preserve"> "BETin/SAD/MSED/2021/" &amp; TEXT(ROW(A11), "0000")</f>
        <v>BETin/SAD/MSED/2021/0011</v>
      </c>
      <c r="I14" s="1" t="s">
        <v>199</v>
      </c>
    </row>
    <row r="15" spans="1:9" s="1" customFormat="1" ht="72.5" x14ac:dyDescent="0.35">
      <c r="A15" s="5">
        <v>10</v>
      </c>
      <c r="B15" s="5" t="s">
        <v>175</v>
      </c>
      <c r="C15" s="6" t="s">
        <v>55</v>
      </c>
      <c r="D15" s="7" t="s">
        <v>56</v>
      </c>
      <c r="E15" s="8">
        <v>2022</v>
      </c>
      <c r="F15" s="8"/>
      <c r="G15" s="5" t="s">
        <v>28</v>
      </c>
      <c r="H15" s="5" t="str">
        <f xml:space="preserve"> "BETin/SAD/MSED/2022/" &amp; TEXT(ROW(A12), "0000")</f>
        <v>BETin/SAD/MSED/2022/0012</v>
      </c>
      <c r="I15" s="1" t="s">
        <v>199</v>
      </c>
    </row>
    <row r="16" spans="1:9" s="1" customFormat="1" ht="72.5" x14ac:dyDescent="0.35">
      <c r="A16" s="5">
        <v>11</v>
      </c>
      <c r="B16" s="5" t="s">
        <v>176</v>
      </c>
      <c r="C16" s="6" t="s">
        <v>29</v>
      </c>
      <c r="D16" s="7" t="s">
        <v>30</v>
      </c>
      <c r="E16" s="8">
        <v>2022</v>
      </c>
      <c r="F16" s="8">
        <v>2024</v>
      </c>
      <c r="G16" s="5" t="s">
        <v>28</v>
      </c>
      <c r="H16" s="5" t="str">
        <f xml:space="preserve"> "BETin/SAD/MSED/2022/" &amp; TEXT(ROW(A13), "0000")</f>
        <v>BETin/SAD/MSED/2022/0013</v>
      </c>
      <c r="I16" s="1" t="s">
        <v>199</v>
      </c>
    </row>
    <row r="17" spans="1:9" s="1" customFormat="1" ht="101.5" x14ac:dyDescent="0.35">
      <c r="A17" s="5">
        <v>12</v>
      </c>
      <c r="B17" s="5" t="s">
        <v>43</v>
      </c>
      <c r="C17" s="6" t="s">
        <v>31</v>
      </c>
      <c r="D17" s="7" t="s">
        <v>32</v>
      </c>
      <c r="E17" s="5">
        <v>2020</v>
      </c>
      <c r="F17" s="8"/>
      <c r="G17" s="5" t="s">
        <v>68</v>
      </c>
      <c r="H17" s="5" t="str">
        <f xml:space="preserve"> "BETin/SAD/MSED/2020/" &amp; TEXT(ROW(A14), "0000")</f>
        <v>BETin/SAD/MSED/2020/0014</v>
      </c>
      <c r="I17" s="1" t="s">
        <v>199</v>
      </c>
    </row>
    <row r="18" spans="1:9" s="1" customFormat="1" ht="72.5" x14ac:dyDescent="0.35">
      <c r="A18" s="5">
        <v>13</v>
      </c>
      <c r="B18" s="5" t="s">
        <v>43</v>
      </c>
      <c r="C18" s="6" t="s">
        <v>33</v>
      </c>
      <c r="D18" s="7" t="s">
        <v>34</v>
      </c>
      <c r="E18" s="5">
        <v>2022</v>
      </c>
      <c r="F18" s="8"/>
      <c r="G18" s="5" t="s">
        <v>28</v>
      </c>
      <c r="H18" s="5" t="str">
        <f xml:space="preserve"> "BETin/SAD/MSED/2022/" &amp; TEXT(ROW(A15), "0000")</f>
        <v>BETin/SAD/MSED/2022/0015</v>
      </c>
      <c r="I18" s="1" t="s">
        <v>199</v>
      </c>
    </row>
    <row r="19" spans="1:9" s="1" customFormat="1" ht="72.5" x14ac:dyDescent="0.35">
      <c r="A19" s="5">
        <v>14</v>
      </c>
      <c r="B19" s="5" t="s">
        <v>177</v>
      </c>
      <c r="C19" s="6" t="s">
        <v>35</v>
      </c>
      <c r="D19" s="7" t="s">
        <v>36</v>
      </c>
      <c r="E19" s="8">
        <v>2022</v>
      </c>
      <c r="F19" s="8"/>
      <c r="G19" s="5" t="s">
        <v>28</v>
      </c>
      <c r="H19" s="5" t="str">
        <f xml:space="preserve"> "BETin/SAD/MSED/2022/" &amp; TEXT(ROW(A16), "0000")</f>
        <v>BETin/SAD/MSED/2022/0016</v>
      </c>
      <c r="I19" s="1" t="s">
        <v>199</v>
      </c>
    </row>
    <row r="20" spans="1:9" s="1" customFormat="1" ht="72.5" x14ac:dyDescent="0.35">
      <c r="A20" s="5">
        <v>15</v>
      </c>
      <c r="B20" s="5" t="s">
        <v>178</v>
      </c>
      <c r="C20" s="6" t="s">
        <v>37</v>
      </c>
      <c r="D20" s="7" t="s">
        <v>38</v>
      </c>
      <c r="E20" s="8">
        <v>2021</v>
      </c>
      <c r="F20" s="8"/>
      <c r="G20" s="5" t="s">
        <v>28</v>
      </c>
      <c r="H20" s="5" t="str">
        <f xml:space="preserve"> "BETin/SAD/MSED/2021/" &amp; TEXT(ROW(A17), "0000")</f>
        <v>BETin/SAD/MSED/2021/0017</v>
      </c>
      <c r="I20" s="1" t="s">
        <v>199</v>
      </c>
    </row>
    <row r="21" spans="1:9" s="1" customFormat="1" ht="72.5" x14ac:dyDescent="0.35">
      <c r="A21" s="5">
        <v>16</v>
      </c>
      <c r="B21" s="5" t="s">
        <v>169</v>
      </c>
      <c r="C21" s="6" t="s">
        <v>39</v>
      </c>
      <c r="D21" s="7" t="s">
        <v>40</v>
      </c>
      <c r="E21" s="8">
        <v>2022</v>
      </c>
      <c r="F21" s="8"/>
      <c r="G21" s="5" t="s">
        <v>8</v>
      </c>
      <c r="H21" s="5" t="str">
        <f xml:space="preserve"> "BETin/SAD/MSED/2022/" &amp; TEXT(ROW(A18), "0000")</f>
        <v>BETin/SAD/MSED/2022/0018</v>
      </c>
      <c r="I21" s="1" t="s">
        <v>199</v>
      </c>
    </row>
    <row r="22" spans="1:9" s="1" customFormat="1" ht="72.5" x14ac:dyDescent="0.35">
      <c r="A22" s="5">
        <v>17</v>
      </c>
      <c r="B22" s="5" t="s">
        <v>179</v>
      </c>
      <c r="C22" s="6" t="s">
        <v>41</v>
      </c>
      <c r="D22" s="7" t="s">
        <v>42</v>
      </c>
      <c r="E22" s="8">
        <v>2024</v>
      </c>
      <c r="F22" s="8"/>
      <c r="G22" s="5" t="s">
        <v>28</v>
      </c>
      <c r="H22" s="5" t="str">
        <f t="shared" ref="H22:H27" si="1" xml:space="preserve"> "BETin/SAD/MSED/2024/" &amp; TEXT(ROW(A19), "0000")</f>
        <v>BETin/SAD/MSED/2024/0019</v>
      </c>
      <c r="I22" s="1" t="s">
        <v>199</v>
      </c>
    </row>
    <row r="23" spans="1:9" s="1" customFormat="1" ht="72.5" x14ac:dyDescent="0.35">
      <c r="A23" s="5">
        <v>18</v>
      </c>
      <c r="B23" s="5" t="s">
        <v>43</v>
      </c>
      <c r="C23" s="6" t="s">
        <v>44</v>
      </c>
      <c r="D23" s="7" t="s">
        <v>45</v>
      </c>
      <c r="E23" s="8">
        <v>2024</v>
      </c>
      <c r="F23" s="8"/>
      <c r="G23" s="5" t="s">
        <v>28</v>
      </c>
      <c r="H23" s="5" t="str">
        <f t="shared" si="1"/>
        <v>BETin/SAD/MSED/2024/0020</v>
      </c>
      <c r="I23" s="1" t="s">
        <v>199</v>
      </c>
    </row>
    <row r="24" spans="1:9" s="1" customFormat="1" ht="72.5" x14ac:dyDescent="0.35">
      <c r="A24" s="5">
        <v>19</v>
      </c>
      <c r="B24" s="5" t="s">
        <v>43</v>
      </c>
      <c r="C24" s="6" t="s">
        <v>46</v>
      </c>
      <c r="D24" s="7" t="s">
        <v>47</v>
      </c>
      <c r="E24" s="8">
        <v>2024</v>
      </c>
      <c r="F24" s="8"/>
      <c r="G24" s="5" t="s">
        <v>28</v>
      </c>
      <c r="H24" s="5" t="str">
        <f t="shared" si="1"/>
        <v>BETin/SAD/MSED/2024/0021</v>
      </c>
      <c r="I24" s="1" t="s">
        <v>199</v>
      </c>
    </row>
    <row r="25" spans="1:9" s="1" customFormat="1" ht="72.5" x14ac:dyDescent="0.35">
      <c r="A25" s="5">
        <v>20</v>
      </c>
      <c r="B25" s="5" t="s">
        <v>48</v>
      </c>
      <c r="C25" s="6" t="s">
        <v>49</v>
      </c>
      <c r="D25" s="7" t="s">
        <v>50</v>
      </c>
      <c r="E25" s="8">
        <v>2024</v>
      </c>
      <c r="F25" s="8"/>
      <c r="G25" s="5" t="s">
        <v>28</v>
      </c>
      <c r="H25" s="5" t="str">
        <f t="shared" si="1"/>
        <v>BETin/SAD/MSED/2024/0022</v>
      </c>
      <c r="I25" s="1" t="s">
        <v>199</v>
      </c>
    </row>
    <row r="26" spans="1:9" s="1" customFormat="1" ht="72.5" x14ac:dyDescent="0.35">
      <c r="A26" s="5">
        <v>21</v>
      </c>
      <c r="B26" s="5" t="s">
        <v>179</v>
      </c>
      <c r="C26" s="6" t="s">
        <v>51</v>
      </c>
      <c r="D26" s="7" t="s">
        <v>52</v>
      </c>
      <c r="E26" s="8">
        <v>2024</v>
      </c>
      <c r="F26" s="8"/>
      <c r="G26" s="5" t="s">
        <v>28</v>
      </c>
      <c r="H26" s="5" t="str">
        <f t="shared" si="1"/>
        <v>BETin/SAD/MSED/2024/0023</v>
      </c>
      <c r="I26" s="1" t="s">
        <v>199</v>
      </c>
    </row>
    <row r="27" spans="1:9" s="1" customFormat="1" ht="72.5" x14ac:dyDescent="0.35">
      <c r="A27" s="5">
        <v>22</v>
      </c>
      <c r="B27" s="5" t="s">
        <v>180</v>
      </c>
      <c r="C27" s="6" t="s">
        <v>53</v>
      </c>
      <c r="D27" s="7" t="s">
        <v>54</v>
      </c>
      <c r="E27" s="8">
        <v>2024</v>
      </c>
      <c r="F27" s="8"/>
      <c r="G27" s="5" t="s">
        <v>28</v>
      </c>
      <c r="H27" s="5" t="str">
        <f t="shared" si="1"/>
        <v>BETin/SAD/MSED/2024/0024</v>
      </c>
      <c r="I27" s="1" t="s">
        <v>199</v>
      </c>
    </row>
    <row r="28" spans="1:9" s="1" customFormat="1" ht="72.5" x14ac:dyDescent="0.35">
      <c r="A28" s="5">
        <v>23</v>
      </c>
      <c r="B28" s="5" t="s">
        <v>181</v>
      </c>
      <c r="C28" s="6" t="s">
        <v>163</v>
      </c>
      <c r="D28" s="7"/>
      <c r="E28" s="8">
        <v>2022</v>
      </c>
      <c r="F28" s="8">
        <v>2023</v>
      </c>
      <c r="G28" s="5" t="s">
        <v>25</v>
      </c>
      <c r="H28" s="5" t="str">
        <f xml:space="preserve"> "BETin/SAD/MSED/2022/" &amp; TEXT(ROW(A25), "0000")</f>
        <v>BETin/SAD/MSED/2022/0025</v>
      </c>
      <c r="I28" s="1" t="s">
        <v>199</v>
      </c>
    </row>
    <row r="29" spans="1:9" s="1" customFormat="1" ht="72.5" x14ac:dyDescent="0.35">
      <c r="A29" s="5">
        <v>25</v>
      </c>
      <c r="B29" s="5" t="s">
        <v>43</v>
      </c>
      <c r="C29" s="6" t="s">
        <v>164</v>
      </c>
      <c r="D29" s="7"/>
      <c r="E29" s="8">
        <v>2022</v>
      </c>
      <c r="F29" s="8">
        <v>2023</v>
      </c>
      <c r="G29" s="5" t="s">
        <v>65</v>
      </c>
      <c r="H29" s="5" t="str">
        <f xml:space="preserve"> "BETin/SAD/MSED/2022/" &amp; TEXT(ROW(A26), "0000")</f>
        <v>BETin/SAD/MSED/2022/0026</v>
      </c>
      <c r="I29" s="1" t="s">
        <v>199</v>
      </c>
    </row>
    <row r="30" spans="1:9" s="1" customFormat="1" ht="43.5" x14ac:dyDescent="0.35">
      <c r="A30" s="5">
        <v>1</v>
      </c>
      <c r="B30" s="5" t="s">
        <v>69</v>
      </c>
      <c r="C30" s="6" t="s">
        <v>82</v>
      </c>
      <c r="D30" s="7" t="s">
        <v>113</v>
      </c>
      <c r="E30" s="8">
        <v>2022</v>
      </c>
      <c r="F30" s="8">
        <v>2024</v>
      </c>
      <c r="G30" s="5" t="s">
        <v>127</v>
      </c>
      <c r="H30" s="5" t="str">
        <f xml:space="preserve"> "BETin/SAD/NTD/" &amp; E30&amp; "/" &amp; TEXT(ROW(A27), "0000")</f>
        <v>BETin/SAD/NTD/2022/0027</v>
      </c>
      <c r="I30" s="1" t="s">
        <v>202</v>
      </c>
    </row>
    <row r="31" spans="1:9" s="1" customFormat="1" ht="28.75" customHeight="1" x14ac:dyDescent="0.35">
      <c r="A31" s="5">
        <v>2</v>
      </c>
      <c r="B31" s="5" t="s">
        <v>70</v>
      </c>
      <c r="C31" s="6" t="s">
        <v>83</v>
      </c>
      <c r="D31" s="7" t="s">
        <v>114</v>
      </c>
      <c r="E31" s="8">
        <v>2022</v>
      </c>
      <c r="F31" s="8">
        <v>2024</v>
      </c>
      <c r="G31" s="5" t="s">
        <v>127</v>
      </c>
      <c r="H31" s="5" t="str">
        <f xml:space="preserve"> "BETin/SAD/NTD/" &amp; E31&amp; "/" &amp; TEXT(ROW(A28), "0000")</f>
        <v>BETin/SAD/NTD/2022/0028</v>
      </c>
      <c r="I31" s="1" t="s">
        <v>202</v>
      </c>
    </row>
    <row r="32" spans="1:9" s="1" customFormat="1" ht="58" x14ac:dyDescent="0.35">
      <c r="A32" s="5">
        <v>3</v>
      </c>
      <c r="B32" s="5" t="s">
        <v>70</v>
      </c>
      <c r="C32" s="6" t="s">
        <v>84</v>
      </c>
      <c r="D32" s="7" t="s">
        <v>115</v>
      </c>
      <c r="E32" s="8">
        <v>2022</v>
      </c>
      <c r="F32" s="8">
        <v>2024</v>
      </c>
      <c r="G32" s="5" t="s">
        <v>127</v>
      </c>
      <c r="H32" s="5" t="str">
        <f xml:space="preserve"> "BETin/SAD/NTD/" &amp; E32&amp; "/" &amp; TEXT(ROW(A29), "0000")</f>
        <v>BETin/SAD/NTD/2022/0029</v>
      </c>
      <c r="I32" s="1" t="s">
        <v>202</v>
      </c>
    </row>
    <row r="33" spans="1:9" s="1" customFormat="1" ht="58" x14ac:dyDescent="0.35">
      <c r="A33" s="5">
        <v>4</v>
      </c>
      <c r="B33" s="5" t="s">
        <v>15</v>
      </c>
      <c r="C33" s="6" t="s">
        <v>85</v>
      </c>
      <c r="D33" s="7" t="s">
        <v>116</v>
      </c>
      <c r="E33" s="8">
        <v>2024</v>
      </c>
      <c r="F33" s="8">
        <v>2026</v>
      </c>
      <c r="G33" s="5" t="s">
        <v>65</v>
      </c>
      <c r="H33" s="5" t="e">
        <f xml:space="preserve"> "BETin/SAD/NTD/" &amp; E33&amp; "/" &amp; TEXT(ROW(#REF!), "0000")</f>
        <v>#REF!</v>
      </c>
      <c r="I33" s="1" t="s">
        <v>202</v>
      </c>
    </row>
    <row r="34" spans="1:9" s="1" customFormat="1" ht="87" x14ac:dyDescent="0.35">
      <c r="A34" s="5">
        <v>5</v>
      </c>
      <c r="B34" s="5" t="s">
        <v>15</v>
      </c>
      <c r="C34" s="6" t="s">
        <v>86</v>
      </c>
      <c r="D34" s="7" t="s">
        <v>118</v>
      </c>
      <c r="E34" s="8">
        <v>2024</v>
      </c>
      <c r="F34" s="8">
        <v>2026</v>
      </c>
      <c r="G34" s="5" t="s">
        <v>65</v>
      </c>
      <c r="H34" s="5" t="str">
        <f t="shared" ref="H34:H59" si="2" xml:space="preserve"> "BETin/SAD/NTD/" &amp; E34&amp; "/" &amp; TEXT(ROW(A30), "0000")</f>
        <v>BETin/SAD/NTD/2024/0030</v>
      </c>
      <c r="I34" s="1" t="s">
        <v>202</v>
      </c>
    </row>
    <row r="35" spans="1:9" s="1" customFormat="1" ht="43.5" x14ac:dyDescent="0.35">
      <c r="A35" s="5">
        <v>6</v>
      </c>
      <c r="B35" s="5" t="s">
        <v>182</v>
      </c>
      <c r="C35" s="6" t="s">
        <v>87</v>
      </c>
      <c r="D35" s="7" t="s">
        <v>117</v>
      </c>
      <c r="E35" s="8">
        <v>2023</v>
      </c>
      <c r="F35" s="8">
        <v>2025</v>
      </c>
      <c r="G35" s="5" t="s">
        <v>65</v>
      </c>
      <c r="H35" s="5" t="str">
        <f t="shared" si="2"/>
        <v>BETin/SAD/NTD/2023/0031</v>
      </c>
      <c r="I35" s="1" t="s">
        <v>202</v>
      </c>
    </row>
    <row r="36" spans="1:9" s="1" customFormat="1" ht="43.5" x14ac:dyDescent="0.35">
      <c r="A36" s="5">
        <v>7</v>
      </c>
      <c r="B36" s="5" t="s">
        <v>77</v>
      </c>
      <c r="C36" s="6" t="s">
        <v>88</v>
      </c>
      <c r="D36" s="7"/>
      <c r="E36" s="8">
        <v>2022</v>
      </c>
      <c r="F36" s="8">
        <v>2025</v>
      </c>
      <c r="G36" s="5" t="s">
        <v>65</v>
      </c>
      <c r="H36" s="5" t="str">
        <f t="shared" si="2"/>
        <v>BETin/SAD/NTD/2022/0032</v>
      </c>
      <c r="I36" s="1" t="s">
        <v>202</v>
      </c>
    </row>
    <row r="37" spans="1:9" s="3" customFormat="1" ht="28.75" customHeight="1" x14ac:dyDescent="0.35">
      <c r="A37" s="6">
        <v>8</v>
      </c>
      <c r="B37" s="6" t="s">
        <v>81</v>
      </c>
      <c r="C37" s="6" t="s">
        <v>90</v>
      </c>
      <c r="D37" s="6" t="s">
        <v>165</v>
      </c>
      <c r="E37" s="6">
        <v>2022</v>
      </c>
      <c r="F37" s="6">
        <v>2024</v>
      </c>
      <c r="G37" s="6" t="s">
        <v>65</v>
      </c>
      <c r="H37" s="5" t="str">
        <f t="shared" si="2"/>
        <v>BETin/SAD/NTD/2022/0033</v>
      </c>
      <c r="I37" s="3" t="s">
        <v>202</v>
      </c>
    </row>
    <row r="38" spans="1:9" s="1" customFormat="1" ht="43.5" x14ac:dyDescent="0.35">
      <c r="A38" s="5">
        <v>9</v>
      </c>
      <c r="B38" s="5" t="s">
        <v>183</v>
      </c>
      <c r="C38" s="6" t="s">
        <v>91</v>
      </c>
      <c r="D38" s="7" t="s">
        <v>119</v>
      </c>
      <c r="E38" s="8">
        <v>2023</v>
      </c>
      <c r="F38" s="8">
        <v>2025</v>
      </c>
      <c r="G38" s="5" t="s">
        <v>129</v>
      </c>
      <c r="H38" s="5" t="str">
        <f t="shared" si="2"/>
        <v>BETin/SAD/NTD/2023/0034</v>
      </c>
      <c r="I38" s="1" t="s">
        <v>202</v>
      </c>
    </row>
    <row r="39" spans="1:9" s="1" customFormat="1" ht="43.5" x14ac:dyDescent="0.35">
      <c r="A39" s="5">
        <v>10</v>
      </c>
      <c r="B39" s="5" t="s">
        <v>184</v>
      </c>
      <c r="C39" s="6" t="s">
        <v>92</v>
      </c>
      <c r="D39" s="7"/>
      <c r="E39" s="8">
        <v>2024</v>
      </c>
      <c r="F39" s="8">
        <v>2025</v>
      </c>
      <c r="G39" s="5" t="s">
        <v>65</v>
      </c>
      <c r="H39" s="5" t="str">
        <f t="shared" si="2"/>
        <v>BETin/SAD/NTD/2024/0035</v>
      </c>
      <c r="I39" s="1" t="s">
        <v>202</v>
      </c>
    </row>
    <row r="40" spans="1:9" s="1" customFormat="1" ht="58" x14ac:dyDescent="0.35">
      <c r="A40" s="5">
        <v>11</v>
      </c>
      <c r="B40" s="5" t="s">
        <v>77</v>
      </c>
      <c r="C40" s="6" t="s">
        <v>93</v>
      </c>
      <c r="D40" s="7"/>
      <c r="E40" s="8">
        <v>2024</v>
      </c>
      <c r="F40" s="8">
        <v>2025</v>
      </c>
      <c r="G40" s="5" t="s">
        <v>65</v>
      </c>
      <c r="H40" s="5" t="str">
        <f t="shared" si="2"/>
        <v>BETin/SAD/NTD/2024/0036</v>
      </c>
      <c r="I40" s="1" t="s">
        <v>202</v>
      </c>
    </row>
    <row r="41" spans="1:9" s="1" customFormat="1" ht="43.5" x14ac:dyDescent="0.35">
      <c r="A41" s="5">
        <v>12</v>
      </c>
      <c r="B41" s="5" t="s">
        <v>72</v>
      </c>
      <c r="C41" s="6" t="s">
        <v>94</v>
      </c>
      <c r="D41" s="7"/>
      <c r="E41" s="8">
        <v>2025</v>
      </c>
      <c r="F41" s="8">
        <v>2026</v>
      </c>
      <c r="G41" s="5" t="s">
        <v>65</v>
      </c>
      <c r="H41" s="5" t="str">
        <f t="shared" si="2"/>
        <v>BETin/SAD/NTD/2025/0037</v>
      </c>
      <c r="I41" s="1" t="s">
        <v>202</v>
      </c>
    </row>
    <row r="42" spans="1:9" s="1" customFormat="1" ht="58" x14ac:dyDescent="0.35">
      <c r="A42" s="5">
        <v>13</v>
      </c>
      <c r="B42" s="5" t="s">
        <v>73</v>
      </c>
      <c r="C42" s="6" t="s">
        <v>95</v>
      </c>
      <c r="D42" s="7"/>
      <c r="E42" s="8">
        <v>2023</v>
      </c>
      <c r="F42" s="8">
        <v>2025</v>
      </c>
      <c r="G42" s="5" t="s">
        <v>65</v>
      </c>
      <c r="H42" s="5" t="str">
        <f t="shared" si="2"/>
        <v>BETin/SAD/NTD/2023/0038</v>
      </c>
      <c r="I42" s="1" t="s">
        <v>202</v>
      </c>
    </row>
    <row r="43" spans="1:9" s="1" customFormat="1" ht="58" x14ac:dyDescent="0.35">
      <c r="A43" s="5">
        <v>14</v>
      </c>
      <c r="B43" s="5" t="s">
        <v>74</v>
      </c>
      <c r="C43" s="6" t="s">
        <v>96</v>
      </c>
      <c r="D43" s="7"/>
      <c r="E43" s="8">
        <v>2023</v>
      </c>
      <c r="F43" s="8">
        <v>2025</v>
      </c>
      <c r="G43" s="5" t="s">
        <v>65</v>
      </c>
      <c r="H43" s="5" t="str">
        <f t="shared" si="2"/>
        <v>BETin/SAD/NTD/2023/0039</v>
      </c>
      <c r="I43" s="1" t="s">
        <v>202</v>
      </c>
    </row>
    <row r="44" spans="1:9" s="1" customFormat="1" ht="58" x14ac:dyDescent="0.35">
      <c r="A44" s="5">
        <v>15</v>
      </c>
      <c r="B44" s="5" t="s">
        <v>71</v>
      </c>
      <c r="C44" s="6" t="s">
        <v>97</v>
      </c>
      <c r="D44" s="7"/>
      <c r="E44" s="8">
        <v>2022</v>
      </c>
      <c r="F44" s="8">
        <v>2024</v>
      </c>
      <c r="G44" s="5" t="s">
        <v>130</v>
      </c>
      <c r="H44" s="5" t="str">
        <f t="shared" si="2"/>
        <v>BETin/SAD/NTD/2022/0040</v>
      </c>
      <c r="I44" s="1" t="s">
        <v>202</v>
      </c>
    </row>
    <row r="45" spans="1:9" s="1" customFormat="1" ht="58" x14ac:dyDescent="0.35">
      <c r="A45" s="5">
        <v>16</v>
      </c>
      <c r="B45" s="5" t="s">
        <v>75</v>
      </c>
      <c r="C45" s="6" t="s">
        <v>105</v>
      </c>
      <c r="D45" s="7" t="s">
        <v>120</v>
      </c>
      <c r="E45" s="8">
        <v>2022</v>
      </c>
      <c r="F45" s="8">
        <v>2023</v>
      </c>
      <c r="G45" s="5" t="s">
        <v>131</v>
      </c>
      <c r="H45" s="5" t="str">
        <f t="shared" si="2"/>
        <v>BETin/SAD/NTD/2022/0041</v>
      </c>
      <c r="I45" s="1" t="s">
        <v>202</v>
      </c>
    </row>
    <row r="46" spans="1:9" s="1" customFormat="1" ht="87" x14ac:dyDescent="0.35">
      <c r="A46" s="5">
        <v>17</v>
      </c>
      <c r="B46" s="5" t="s">
        <v>76</v>
      </c>
      <c r="C46" s="6" t="s">
        <v>106</v>
      </c>
      <c r="D46" s="7" t="s">
        <v>121</v>
      </c>
      <c r="E46" s="8">
        <v>2021</v>
      </c>
      <c r="F46" s="8">
        <v>2023</v>
      </c>
      <c r="G46" s="5" t="s">
        <v>8</v>
      </c>
      <c r="H46" s="5" t="str">
        <f t="shared" si="2"/>
        <v>BETin/SAD/NTD/2021/0042</v>
      </c>
      <c r="I46" s="1" t="s">
        <v>202</v>
      </c>
    </row>
    <row r="47" spans="1:9" s="1" customFormat="1" ht="101.5" x14ac:dyDescent="0.35">
      <c r="A47" s="5">
        <v>18</v>
      </c>
      <c r="B47" s="5" t="s">
        <v>77</v>
      </c>
      <c r="C47" s="6" t="s">
        <v>107</v>
      </c>
      <c r="D47" s="7" t="s">
        <v>122</v>
      </c>
      <c r="E47" s="8">
        <v>2021</v>
      </c>
      <c r="F47" s="8">
        <v>2022</v>
      </c>
      <c r="G47" s="5" t="s">
        <v>8</v>
      </c>
      <c r="H47" s="5" t="str">
        <f t="shared" si="2"/>
        <v>BETin/SAD/NTD/2021/0043</v>
      </c>
      <c r="I47" s="14" t="s">
        <v>202</v>
      </c>
    </row>
    <row r="48" spans="1:9" s="1" customFormat="1" ht="58" x14ac:dyDescent="0.35">
      <c r="A48" s="5">
        <v>19</v>
      </c>
      <c r="B48" s="5" t="s">
        <v>78</v>
      </c>
      <c r="C48" s="6" t="s">
        <v>108</v>
      </c>
      <c r="D48" s="7" t="s">
        <v>123</v>
      </c>
      <c r="E48" s="8">
        <v>2021</v>
      </c>
      <c r="F48" s="8">
        <v>2023</v>
      </c>
      <c r="G48" s="5" t="s">
        <v>8</v>
      </c>
      <c r="H48" s="5" t="str">
        <f t="shared" si="2"/>
        <v>BETin/SAD/NTD/2021/0044</v>
      </c>
      <c r="I48" s="1" t="s">
        <v>202</v>
      </c>
    </row>
    <row r="49" spans="1:9" s="1" customFormat="1" ht="72.5" x14ac:dyDescent="0.35">
      <c r="A49" s="5">
        <v>20</v>
      </c>
      <c r="B49" s="5" t="s">
        <v>185</v>
      </c>
      <c r="C49" s="6" t="s">
        <v>109</v>
      </c>
      <c r="D49" s="7"/>
      <c r="E49" s="8">
        <v>2019</v>
      </c>
      <c r="F49" s="8">
        <v>2021</v>
      </c>
      <c r="G49" s="5" t="s">
        <v>8</v>
      </c>
      <c r="H49" s="5" t="str">
        <f t="shared" si="2"/>
        <v>BETin/SAD/NTD/2019/0045</v>
      </c>
      <c r="I49" s="1" t="s">
        <v>202</v>
      </c>
    </row>
    <row r="50" spans="1:9" s="1" customFormat="1" ht="28.75" customHeight="1" x14ac:dyDescent="0.35">
      <c r="A50" s="5">
        <v>21</v>
      </c>
      <c r="B50" s="5" t="s">
        <v>185</v>
      </c>
      <c r="C50" s="6" t="s">
        <v>110</v>
      </c>
      <c r="D50" s="7"/>
      <c r="E50" s="8">
        <v>2019</v>
      </c>
      <c r="F50" s="8">
        <v>2021</v>
      </c>
      <c r="G50" s="5" t="s">
        <v>8</v>
      </c>
      <c r="H50" s="5" t="str">
        <f t="shared" si="2"/>
        <v>BETin/SAD/NTD/2019/0046</v>
      </c>
      <c r="I50" s="1" t="s">
        <v>202</v>
      </c>
    </row>
    <row r="51" spans="1:9" s="1" customFormat="1" ht="28.75" customHeight="1" x14ac:dyDescent="0.35">
      <c r="A51" s="5">
        <v>22</v>
      </c>
      <c r="B51" s="5" t="s">
        <v>79</v>
      </c>
      <c r="C51" s="6" t="s">
        <v>111</v>
      </c>
      <c r="D51" s="7"/>
      <c r="E51" s="8">
        <v>2021</v>
      </c>
      <c r="F51" s="8">
        <v>2023</v>
      </c>
      <c r="G51" s="5" t="s">
        <v>8</v>
      </c>
      <c r="H51" s="5" t="str">
        <f t="shared" si="2"/>
        <v>BETin/SAD/NTD/2021/0047</v>
      </c>
      <c r="I51" s="1" t="s">
        <v>202</v>
      </c>
    </row>
    <row r="52" spans="1:9" s="1" customFormat="1" ht="72.5" x14ac:dyDescent="0.35">
      <c r="A52" s="5">
        <v>23</v>
      </c>
      <c r="B52" s="5" t="s">
        <v>77</v>
      </c>
      <c r="C52" s="6" t="s">
        <v>112</v>
      </c>
      <c r="D52" s="7"/>
      <c r="E52" s="5">
        <v>2019</v>
      </c>
      <c r="F52" s="5">
        <v>2021</v>
      </c>
      <c r="G52" s="5" t="s">
        <v>8</v>
      </c>
      <c r="H52" s="5" t="str">
        <f t="shared" si="2"/>
        <v>BETin/SAD/NTD/2019/0048</v>
      </c>
      <c r="I52" s="1" t="s">
        <v>202</v>
      </c>
    </row>
    <row r="53" spans="1:9" s="1" customFormat="1" ht="58" x14ac:dyDescent="0.35">
      <c r="A53" s="5">
        <v>24</v>
      </c>
      <c r="B53" s="5" t="s">
        <v>76</v>
      </c>
      <c r="C53" s="6" t="s">
        <v>98</v>
      </c>
      <c r="D53" s="7" t="s">
        <v>124</v>
      </c>
      <c r="E53" s="5">
        <v>2019</v>
      </c>
      <c r="F53" s="5">
        <v>2022</v>
      </c>
      <c r="G53" s="5" t="s">
        <v>8</v>
      </c>
      <c r="H53" s="5" t="str">
        <f t="shared" si="2"/>
        <v>BETin/SAD/NTD/2019/0049</v>
      </c>
      <c r="I53" s="1" t="s">
        <v>202</v>
      </c>
    </row>
    <row r="54" spans="1:9" s="1" customFormat="1" ht="43.5" x14ac:dyDescent="0.35">
      <c r="A54" s="5">
        <v>25</v>
      </c>
      <c r="B54" s="5" t="s">
        <v>186</v>
      </c>
      <c r="C54" s="6" t="s">
        <v>99</v>
      </c>
      <c r="D54" s="7" t="s">
        <v>125</v>
      </c>
      <c r="E54" s="5">
        <v>2018</v>
      </c>
      <c r="F54" s="5">
        <v>2022</v>
      </c>
      <c r="G54" s="5" t="s">
        <v>8</v>
      </c>
      <c r="H54" s="5" t="str">
        <f t="shared" si="2"/>
        <v>BETin/SAD/NTD/2018/0050</v>
      </c>
      <c r="I54" s="1" t="s">
        <v>202</v>
      </c>
    </row>
    <row r="55" spans="1:9" s="1" customFormat="1" ht="43.5" x14ac:dyDescent="0.35">
      <c r="A55" s="5">
        <v>26</v>
      </c>
      <c r="B55" s="5" t="s">
        <v>77</v>
      </c>
      <c r="C55" s="6" t="s">
        <v>100</v>
      </c>
      <c r="D55" s="7"/>
      <c r="E55" s="8">
        <v>2018</v>
      </c>
      <c r="F55" s="8">
        <v>2021</v>
      </c>
      <c r="G55" s="5" t="s">
        <v>8</v>
      </c>
      <c r="H55" s="5" t="str">
        <f t="shared" si="2"/>
        <v>BETin/SAD/NTD/2018/0051</v>
      </c>
      <c r="I55" s="1" t="s">
        <v>202</v>
      </c>
    </row>
    <row r="56" spans="1:9" s="1" customFormat="1" ht="58" x14ac:dyDescent="0.35">
      <c r="A56" s="5">
        <v>27</v>
      </c>
      <c r="B56" s="5" t="s">
        <v>187</v>
      </c>
      <c r="C56" s="6" t="s">
        <v>101</v>
      </c>
      <c r="D56" s="7" t="s">
        <v>126</v>
      </c>
      <c r="E56" s="5">
        <v>2018</v>
      </c>
      <c r="F56" s="5">
        <v>2022</v>
      </c>
      <c r="G56" s="5" t="s">
        <v>25</v>
      </c>
      <c r="H56" s="5" t="str">
        <f t="shared" si="2"/>
        <v>BETin/SAD/NTD/2018/0052</v>
      </c>
      <c r="I56" s="1" t="s">
        <v>202</v>
      </c>
    </row>
    <row r="57" spans="1:9" s="1" customFormat="1" ht="43.5" x14ac:dyDescent="0.35">
      <c r="A57" s="5">
        <v>28</v>
      </c>
      <c r="B57" s="5" t="s">
        <v>188</v>
      </c>
      <c r="C57" s="6" t="s">
        <v>102</v>
      </c>
      <c r="D57" s="9"/>
      <c r="E57" s="5">
        <v>2019</v>
      </c>
      <c r="F57" s="5">
        <v>2022</v>
      </c>
      <c r="G57" s="5" t="s">
        <v>25</v>
      </c>
      <c r="H57" s="5" t="str">
        <f t="shared" si="2"/>
        <v>BETin/SAD/NTD/2019/0053</v>
      </c>
      <c r="I57" s="1" t="s">
        <v>202</v>
      </c>
    </row>
    <row r="58" spans="1:9" s="1" customFormat="1" ht="87" x14ac:dyDescent="0.35">
      <c r="A58" s="5">
        <v>29</v>
      </c>
      <c r="B58" s="5" t="s">
        <v>189</v>
      </c>
      <c r="C58" s="6" t="s">
        <v>103</v>
      </c>
      <c r="D58" s="9"/>
      <c r="E58" s="5">
        <v>2021</v>
      </c>
      <c r="F58" s="5">
        <v>2023</v>
      </c>
      <c r="G58" s="5" t="s">
        <v>25</v>
      </c>
      <c r="H58" s="5" t="str">
        <f t="shared" si="2"/>
        <v>BETin/SAD/NTD/2021/0054</v>
      </c>
      <c r="I58" s="1" t="s">
        <v>202</v>
      </c>
    </row>
    <row r="59" spans="1:9" s="1" customFormat="1" ht="58" x14ac:dyDescent="0.35">
      <c r="A59" s="5">
        <v>30</v>
      </c>
      <c r="B59" s="5" t="s">
        <v>80</v>
      </c>
      <c r="C59" s="6" t="s">
        <v>104</v>
      </c>
      <c r="D59" s="9"/>
      <c r="E59" s="5">
        <v>2023</v>
      </c>
      <c r="F59" s="5">
        <v>2025</v>
      </c>
      <c r="G59" s="5" t="s">
        <v>25</v>
      </c>
      <c r="H59" s="5" t="str">
        <f t="shared" si="2"/>
        <v>BETin/SAD/NTD/2023/0055</v>
      </c>
      <c r="I59" s="1" t="s">
        <v>202</v>
      </c>
    </row>
    <row r="60" spans="1:9" ht="72.5" x14ac:dyDescent="0.35">
      <c r="A60" s="5">
        <v>1</v>
      </c>
      <c r="B60" s="5" t="s">
        <v>132</v>
      </c>
      <c r="C60" s="6" t="s">
        <v>133</v>
      </c>
      <c r="D60" s="9" t="s">
        <v>151</v>
      </c>
      <c r="E60" s="8">
        <v>2018</v>
      </c>
      <c r="F60" s="8">
        <v>2022</v>
      </c>
      <c r="G60" s="5" t="s">
        <v>8</v>
      </c>
      <c r="H60" s="5" t="str">
        <f xml:space="preserve"> "BETin/SAD/RED/" &amp; E60 &amp; "/" &amp; TEXT(ROW(A56), "0000")</f>
        <v>BETin/SAD/RED/2018/0056</v>
      </c>
      <c r="I60" s="2" t="s">
        <v>200</v>
      </c>
    </row>
    <row r="61" spans="1:9" ht="43.5" x14ac:dyDescent="0.35">
      <c r="A61" s="5">
        <v>2</v>
      </c>
      <c r="B61" s="5" t="s">
        <v>190</v>
      </c>
      <c r="C61" s="6" t="s">
        <v>134</v>
      </c>
      <c r="D61" s="9" t="s">
        <v>147</v>
      </c>
      <c r="E61" s="8">
        <v>2019</v>
      </c>
      <c r="F61" s="8">
        <v>2021</v>
      </c>
      <c r="G61" s="5" t="s">
        <v>8</v>
      </c>
      <c r="H61" s="5" t="str">
        <f xml:space="preserve"> "BETin/SAD/RED/" &amp; E61 &amp; "/" &amp; TEXT(ROW(A57), "0000")</f>
        <v>BETin/SAD/RED/2019/0057</v>
      </c>
      <c r="I61" s="2" t="s">
        <v>200</v>
      </c>
    </row>
    <row r="62" spans="1:9" ht="58" x14ac:dyDescent="0.35">
      <c r="A62" s="5">
        <v>3</v>
      </c>
      <c r="B62" s="5" t="s">
        <v>191</v>
      </c>
      <c r="C62" s="6" t="s">
        <v>135</v>
      </c>
      <c r="D62" s="9" t="s">
        <v>152</v>
      </c>
      <c r="E62" s="8">
        <v>2022</v>
      </c>
      <c r="F62" s="8">
        <v>2025</v>
      </c>
      <c r="G62" s="5" t="s">
        <v>28</v>
      </c>
      <c r="H62" s="5" t="str">
        <f xml:space="preserve"> "BETin/SAD/RED/" &amp; E62 &amp; "/" &amp; TEXT(ROW(A58), "0000")</f>
        <v>BETin/SAD/RED/2022/0058</v>
      </c>
      <c r="I62" s="2" t="s">
        <v>200</v>
      </c>
    </row>
    <row r="63" spans="1:9" ht="87" x14ac:dyDescent="0.35">
      <c r="A63" s="5">
        <v>4</v>
      </c>
      <c r="B63" s="5" t="s">
        <v>190</v>
      </c>
      <c r="C63" s="6" t="s">
        <v>136</v>
      </c>
      <c r="D63" s="9" t="s">
        <v>153</v>
      </c>
      <c r="E63" s="8">
        <v>2022</v>
      </c>
      <c r="F63" s="8">
        <v>2024</v>
      </c>
      <c r="G63" s="5" t="s">
        <v>8</v>
      </c>
      <c r="H63" s="5" t="str">
        <f xml:space="preserve"> "BETin/SAD/RED/" &amp; E63 &amp; "/" &amp; TEXT(ROW(A59), "0000")</f>
        <v>BETin/SAD/RED/2022/0059</v>
      </c>
      <c r="I63" s="2" t="s">
        <v>200</v>
      </c>
    </row>
    <row r="64" spans="1:9" ht="43.5" x14ac:dyDescent="0.35">
      <c r="A64" s="5">
        <v>5</v>
      </c>
      <c r="B64" s="5" t="s">
        <v>192</v>
      </c>
      <c r="C64" s="6" t="s">
        <v>143</v>
      </c>
      <c r="D64" s="9" t="s">
        <v>154</v>
      </c>
      <c r="E64" s="8">
        <v>2024</v>
      </c>
      <c r="F64" s="8">
        <v>2026</v>
      </c>
      <c r="G64" s="5" t="s">
        <v>28</v>
      </c>
      <c r="H64" s="5" t="e">
        <f xml:space="preserve"> "BETin/SAD/RED/" &amp; E64 &amp; "/" &amp; TEXT(ROW(#REF!), "0000")</f>
        <v>#REF!</v>
      </c>
      <c r="I64" s="2" t="s">
        <v>200</v>
      </c>
    </row>
    <row r="65" spans="1:9" ht="87" x14ac:dyDescent="0.35">
      <c r="A65" s="5">
        <v>6</v>
      </c>
      <c r="B65" s="5" t="s">
        <v>193</v>
      </c>
      <c r="C65" s="6" t="s">
        <v>144</v>
      </c>
      <c r="D65" s="9" t="s">
        <v>155</v>
      </c>
      <c r="E65" s="8">
        <v>2022</v>
      </c>
      <c r="F65" s="8">
        <v>2024</v>
      </c>
      <c r="G65" s="5" t="s">
        <v>8</v>
      </c>
      <c r="H65" s="5" t="str">
        <f t="shared" ref="H65:H74" si="3" xml:space="preserve"> "BETin/SAD/RED/" &amp; E65 &amp; "/" &amp; TEXT(ROW(A60), "0000")</f>
        <v>BETin/SAD/RED/2022/0060</v>
      </c>
      <c r="I65" s="2" t="s">
        <v>200</v>
      </c>
    </row>
    <row r="66" spans="1:9" ht="43.5" x14ac:dyDescent="0.35">
      <c r="A66" s="5">
        <v>7</v>
      </c>
      <c r="B66" s="5" t="s">
        <v>192</v>
      </c>
      <c r="C66" s="6" t="s">
        <v>145</v>
      </c>
      <c r="D66" s="9" t="s">
        <v>156</v>
      </c>
      <c r="E66" s="8">
        <v>2022</v>
      </c>
      <c r="F66" s="8">
        <v>2025</v>
      </c>
      <c r="G66" s="5" t="s">
        <v>28</v>
      </c>
      <c r="H66" s="5" t="str">
        <f t="shared" si="3"/>
        <v>BETin/SAD/RED/2022/0061</v>
      </c>
      <c r="I66" s="2" t="s">
        <v>200</v>
      </c>
    </row>
    <row r="67" spans="1:9" ht="58" x14ac:dyDescent="0.35">
      <c r="A67" s="5">
        <v>8</v>
      </c>
      <c r="B67" s="5" t="s">
        <v>191</v>
      </c>
      <c r="C67" s="6" t="s">
        <v>137</v>
      </c>
      <c r="D67" s="9" t="s">
        <v>157</v>
      </c>
      <c r="E67" s="8">
        <v>2021</v>
      </c>
      <c r="F67" s="8">
        <v>2022</v>
      </c>
      <c r="G67" s="5" t="s">
        <v>8</v>
      </c>
      <c r="H67" s="5" t="str">
        <f t="shared" si="3"/>
        <v>BETin/SAD/RED/2021/0062</v>
      </c>
      <c r="I67" s="2" t="s">
        <v>200</v>
      </c>
    </row>
    <row r="68" spans="1:9" ht="72.5" x14ac:dyDescent="0.35">
      <c r="A68" s="5">
        <v>9</v>
      </c>
      <c r="B68" s="5" t="s">
        <v>194</v>
      </c>
      <c r="C68" s="6" t="s">
        <v>138</v>
      </c>
      <c r="D68" s="9" t="s">
        <v>158</v>
      </c>
      <c r="E68" s="8">
        <v>2022</v>
      </c>
      <c r="F68" s="8">
        <v>2025</v>
      </c>
      <c r="G68" s="5" t="s">
        <v>28</v>
      </c>
      <c r="H68" s="5" t="str">
        <f t="shared" si="3"/>
        <v>BETin/SAD/RED/2022/0063</v>
      </c>
      <c r="I68" s="2" t="s">
        <v>200</v>
      </c>
    </row>
    <row r="69" spans="1:9" ht="72.5" x14ac:dyDescent="0.35">
      <c r="A69" s="5">
        <v>10</v>
      </c>
      <c r="B69" s="5" t="s">
        <v>190</v>
      </c>
      <c r="C69" s="6" t="s">
        <v>139</v>
      </c>
      <c r="D69" s="9" t="s">
        <v>148</v>
      </c>
      <c r="E69" s="8">
        <v>2024</v>
      </c>
      <c r="F69" s="8">
        <v>2026</v>
      </c>
      <c r="G69" s="5" t="s">
        <v>28</v>
      </c>
      <c r="H69" s="5" t="str">
        <f t="shared" si="3"/>
        <v>BETin/SAD/RED/2024/0064</v>
      </c>
      <c r="I69" s="2" t="s">
        <v>200</v>
      </c>
    </row>
    <row r="70" spans="1:9" ht="159.5" x14ac:dyDescent="0.35">
      <c r="A70" s="5">
        <v>11</v>
      </c>
      <c r="B70" s="5" t="s">
        <v>195</v>
      </c>
      <c r="C70" s="6" t="s">
        <v>140</v>
      </c>
      <c r="D70" s="9" t="s">
        <v>159</v>
      </c>
      <c r="E70" s="8">
        <v>2022</v>
      </c>
      <c r="F70" s="8">
        <v>2025</v>
      </c>
      <c r="G70" s="5" t="s">
        <v>128</v>
      </c>
      <c r="H70" s="5" t="str">
        <f t="shared" si="3"/>
        <v>BETin/SAD/RED/2022/0065</v>
      </c>
      <c r="I70" s="2" t="s">
        <v>200</v>
      </c>
    </row>
    <row r="71" spans="1:9" ht="101.5" x14ac:dyDescent="0.35">
      <c r="A71" s="5">
        <v>12</v>
      </c>
      <c r="B71" s="5" t="s">
        <v>196</v>
      </c>
      <c r="C71" s="6" t="s">
        <v>141</v>
      </c>
      <c r="D71" s="9" t="s">
        <v>149</v>
      </c>
      <c r="E71" s="8">
        <v>2024</v>
      </c>
      <c r="F71" s="8">
        <v>2026</v>
      </c>
      <c r="G71" s="5" t="s">
        <v>28</v>
      </c>
      <c r="H71" s="5" t="str">
        <f t="shared" si="3"/>
        <v>BETin/SAD/RED/2024/0066</v>
      </c>
      <c r="I71" s="2" t="s">
        <v>200</v>
      </c>
    </row>
    <row r="72" spans="1:9" ht="145" x14ac:dyDescent="0.35">
      <c r="A72" s="5">
        <v>13</v>
      </c>
      <c r="B72" s="5" t="s">
        <v>193</v>
      </c>
      <c r="C72" s="6" t="s">
        <v>142</v>
      </c>
      <c r="D72" s="9" t="s">
        <v>160</v>
      </c>
      <c r="E72" s="8">
        <v>2022</v>
      </c>
      <c r="F72" s="8">
        <v>2025</v>
      </c>
      <c r="G72" s="5" t="s">
        <v>8</v>
      </c>
      <c r="H72" s="5" t="str">
        <f t="shared" si="3"/>
        <v>BETin/SAD/RED/2022/0067</v>
      </c>
      <c r="I72" s="2" t="s">
        <v>200</v>
      </c>
    </row>
    <row r="73" spans="1:9" ht="58" x14ac:dyDescent="0.35">
      <c r="A73" s="5">
        <v>14</v>
      </c>
      <c r="B73" s="5" t="s">
        <v>197</v>
      </c>
      <c r="C73" s="6" t="s">
        <v>146</v>
      </c>
      <c r="D73" s="9" t="s">
        <v>150</v>
      </c>
      <c r="E73" s="8">
        <v>2021</v>
      </c>
      <c r="F73" s="8">
        <v>2024</v>
      </c>
      <c r="G73" s="5" t="s">
        <v>161</v>
      </c>
      <c r="H73" s="5" t="str">
        <f t="shared" si="3"/>
        <v>BETin/SAD/RED/2021/0068</v>
      </c>
      <c r="I73" s="2" t="s">
        <v>200</v>
      </c>
    </row>
    <row r="74" spans="1:9" s="1" customFormat="1" ht="58" x14ac:dyDescent="0.35">
      <c r="A74" s="5">
        <v>15</v>
      </c>
      <c r="B74" s="5" t="s">
        <v>76</v>
      </c>
      <c r="C74" s="6" t="s">
        <v>89</v>
      </c>
      <c r="D74" s="7"/>
      <c r="E74" s="8">
        <v>2024</v>
      </c>
      <c r="F74" s="8">
        <v>2027</v>
      </c>
      <c r="G74" s="5" t="s">
        <v>128</v>
      </c>
      <c r="H74" s="5" t="str">
        <f t="shared" si="3"/>
        <v>BETin/SAD/RED/2024/0069</v>
      </c>
      <c r="I74" s="1" t="s">
        <v>200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Projects in EMERGING Technology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Abiy Lolasa Obsa</dc:creator>
  <cp:lastModifiedBy>Getachew Abebe</cp:lastModifiedBy>
  <dcterms:created xsi:type="dcterms:W3CDTF">2025-11-17T13:34:03Z</dcterms:created>
  <dcterms:modified xsi:type="dcterms:W3CDTF">2026-02-06T03:51:43Z</dcterms:modified>
</cp:coreProperties>
</file>